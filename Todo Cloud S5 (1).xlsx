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e" sheetId="1" r:id="rId5"/>
    <sheet state="visible" name="liste des taches" sheetId="2" r:id="rId6"/>
    <sheet state="visible" name="Recap" sheetId="3" r:id="rId7"/>
    <sheet state="visible" name="avancement" sheetId="4" r:id="rId8"/>
    <sheet state="visible" name="detail_avancement" sheetId="5" r:id="rId9"/>
  </sheets>
  <definedNames/>
  <calcPr/>
  <pivotCaches>
    <pivotCache cacheId="0" r:id="rId10"/>
  </pivotCaches>
</workbook>
</file>

<file path=xl/sharedStrings.xml><?xml version="1.0" encoding="utf-8"?>
<sst xmlns="http://schemas.openxmlformats.org/spreadsheetml/2006/main" count="91" uniqueCount="42">
  <si>
    <t>ETU00XXXX</t>
  </si>
  <si>
    <t>A</t>
  </si>
  <si>
    <t>ETU00YYYY</t>
  </si>
  <si>
    <t>B</t>
  </si>
  <si>
    <t>ETU00ZZZZ</t>
  </si>
  <si>
    <t>C</t>
  </si>
  <si>
    <t>ETU00WWWW</t>
  </si>
  <si>
    <t>Ligne</t>
  </si>
  <si>
    <t>Catégorie</t>
  </si>
  <si>
    <t>Module</t>
  </si>
  <si>
    <t>Page</t>
  </si>
  <si>
    <t>Taches</t>
  </si>
  <si>
    <t>Type</t>
  </si>
  <si>
    <t>Qui</t>
  </si>
  <si>
    <t>Estimation</t>
  </si>
  <si>
    <t>Temps passé</t>
  </si>
  <si>
    <t>Reste à faire</t>
  </si>
  <si>
    <t>Avancement</t>
  </si>
  <si>
    <t>Backoffice</t>
  </si>
  <si>
    <t>Gestion Login</t>
  </si>
  <si>
    <t>Index</t>
  </si>
  <si>
    <t>Global</t>
  </si>
  <si>
    <t>Affichage</t>
  </si>
  <si>
    <t>Metier</t>
  </si>
  <si>
    <t>Integration</t>
  </si>
  <si>
    <t>Gestion Categorie</t>
  </si>
  <si>
    <t>Categorie</t>
  </si>
  <si>
    <t>Liste</t>
  </si>
  <si>
    <t>Categorie-add</t>
  </si>
  <si>
    <t>Ajout</t>
  </si>
  <si>
    <t>Base</t>
  </si>
  <si>
    <t>SUM de Estimation</t>
  </si>
  <si>
    <t>SUM de Temps passé</t>
  </si>
  <si>
    <t>SUM de Reste à faire</t>
  </si>
  <si>
    <t>Total général</t>
  </si>
  <si>
    <t>estimation total</t>
  </si>
  <si>
    <t>temps passé total</t>
  </si>
  <si>
    <t>reste à faire total</t>
  </si>
  <si>
    <t>avancement</t>
  </si>
  <si>
    <t>dépassement</t>
  </si>
  <si>
    <t>heure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</si>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</sst>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"/>
  </numFmts>
  <fonts count="13">
    <font>
      <sz val="10.0"/>
      <color rgb="FF000000"/>
      <name val="Arial"/>
      <scheme val="minor"/>
    </font>
    <font>
      <color theme="1"/>
      <name val="Arial"/>
    </font>
    <font>
      <b/>
      <sz val="11.0"/>
      <color rgb="FF000000"/>
      <name val="Arial"/>
    </font>
    <font>
      <b/>
      <sz val="11.0"/>
      <color rgb="FF000000"/>
      <name val="Liberation Serif"/>
    </font>
    <font>
      <sz val="10.0"/>
      <color theme="1"/>
      <name val="Arial"/>
      <scheme val="minor"/>
    </font>
    <font>
      <sz val="10.0"/>
      <color theme="1"/>
      <name val="Arial"/>
    </font>
    <font>
      <sz val="10.0"/>
      <color theme="1"/>
      <name val="Liberation Serif"/>
    </font>
    <font>
      <color theme="1"/>
      <name val="Arial"/>
      <scheme val="minor"/>
    </font>
    <font>
      <b/>
      <color theme="1"/>
      <name val="Arial"/>
      <scheme val="minor"/>
    </font>
    <font>
      <b/>
      <sz val="12.0"/>
      <color theme="1"/>
      <name val="Aptos Narrow"/>
    </font>
    <font>
      <sz val="12.0"/>
      <color theme="1"/>
      <name val="Aptos Narrow"/>
    </font>
    <font>
      <b/>
      <sz val="12.0"/>
      <color theme="1"/>
      <name val="Arial"/>
    </font>
    <font>
      <sz val="12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E599"/>
        <bgColor rgb="FFFFE599"/>
      </patternFill>
    </fill>
    <fill>
      <patternFill patternType="solid">
        <fgColor rgb="FF95DCF7"/>
        <bgColor rgb="FF95DCF7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2" fontId="2" numFmtId="0" xfId="0" applyAlignment="1" applyFill="1" applyFont="1">
      <alignment readingOrder="0" vertical="bottom"/>
    </xf>
    <xf borderId="1" fillId="2" fontId="2" numFmtId="0" xfId="0" applyAlignment="1" applyBorder="1" applyFont="1">
      <alignment readingOrder="0" vertical="bottom"/>
    </xf>
    <xf borderId="1" fillId="2" fontId="3" numFmtId="0" xfId="0" applyAlignment="1" applyBorder="1" applyFont="1">
      <alignment vertical="bottom"/>
    </xf>
    <xf borderId="0" fillId="0" fontId="4" numFmtId="0" xfId="0" applyAlignment="1" applyFont="1">
      <alignment readingOrder="0"/>
    </xf>
    <xf borderId="1" fillId="0" fontId="4" numFmtId="0" xfId="0" applyAlignment="1" applyBorder="1" applyFont="1">
      <alignment readingOrder="0"/>
    </xf>
    <xf borderId="1" fillId="0" fontId="5" numFmtId="0" xfId="0" applyAlignment="1" applyBorder="1" applyFont="1">
      <alignment vertical="bottom"/>
    </xf>
    <xf borderId="1" fillId="0" fontId="5" numFmtId="0" xfId="0" applyAlignment="1" applyBorder="1" applyFont="1">
      <alignment readingOrder="0" vertical="bottom"/>
    </xf>
    <xf borderId="1" fillId="0" fontId="6" numFmtId="0" xfId="0" applyAlignment="1" applyBorder="1" applyFont="1">
      <alignment vertical="bottom"/>
    </xf>
    <xf borderId="1" fillId="0" fontId="5" numFmtId="0" xfId="0" applyAlignment="1" applyBorder="1" applyFont="1">
      <alignment horizontal="right" vertical="bottom"/>
    </xf>
    <xf borderId="1" fillId="0" fontId="5" numFmtId="10" xfId="0" applyAlignment="1" applyBorder="1" applyFont="1" applyNumberFormat="1">
      <alignment horizontal="right" vertical="bottom"/>
    </xf>
    <xf borderId="1" fillId="0" fontId="5" numFmtId="0" xfId="0" applyAlignment="1" applyBorder="1" applyFont="1">
      <alignment horizontal="right" readingOrder="0" vertical="bottom"/>
    </xf>
    <xf borderId="0" fillId="0" fontId="4" numFmtId="0" xfId="0" applyFont="1"/>
    <xf borderId="0" fillId="0" fontId="7" numFmtId="0" xfId="0" applyFont="1"/>
    <xf borderId="0" fillId="3" fontId="8" numFmtId="0" xfId="0" applyAlignment="1" applyFill="1" applyFont="1">
      <alignment readingOrder="0"/>
    </xf>
    <xf borderId="0" fillId="3" fontId="8" numFmtId="10" xfId="0" applyFont="1" applyNumberFormat="1"/>
    <xf borderId="2" fillId="4" fontId="9" numFmtId="0" xfId="0" applyAlignment="1" applyBorder="1" applyFill="1" applyFont="1">
      <alignment vertical="bottom"/>
    </xf>
    <xf borderId="0" fillId="0" fontId="10" numFmtId="0" xfId="0" applyAlignment="1" applyFont="1">
      <alignment horizontal="right" vertical="bottom"/>
    </xf>
    <xf borderId="0" fillId="0" fontId="10" numFmtId="10" xfId="0" applyAlignment="1" applyFont="1" applyNumberFormat="1">
      <alignment horizontal="right" vertical="bottom"/>
    </xf>
    <xf borderId="0" fillId="0" fontId="10" numFmtId="9" xfId="0" applyAlignment="1" applyFont="1" applyNumberFormat="1">
      <alignment horizontal="right" vertical="bottom"/>
    </xf>
    <xf borderId="0" fillId="0" fontId="10" numFmtId="0" xfId="0" applyAlignment="1" applyFont="1">
      <alignment vertical="bottom"/>
    </xf>
    <xf borderId="0" fillId="4" fontId="11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0" fontId="11" numFmtId="164" xfId="0" applyAlignment="1" applyFont="1" applyNumberFormat="1">
      <alignment horizontal="right" vertical="bottom"/>
    </xf>
    <xf borderId="0" fillId="0" fontId="12" numFmtId="0" xfId="0" applyAlignment="1" applyFont="1">
      <alignment horizontal="right" vertical="bottom"/>
    </xf>
    <xf borderId="0" fillId="0" fontId="12" numFmtId="0" xfId="0" applyAlignment="1" applyFont="1">
      <alignment readingOrder="0" vertical="bottom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K993" sheet="liste des taches"/>
  </cacheSource>
  <cacheFields>
    <cacheField name="Catégorie" numFmtId="0">
      <sharedItems containsBlank="1">
        <s v="Backoffice"/>
        <m/>
      </sharedItems>
    </cacheField>
    <cacheField name="Module" numFmtId="0">
      <sharedItems containsBlank="1">
        <s v="Gestion Login"/>
        <s v="Gestion Categorie"/>
        <m/>
      </sharedItems>
    </cacheField>
    <cacheField name="Page" numFmtId="0">
      <sharedItems containsBlank="1">
        <s v="Index"/>
        <s v="Categorie"/>
        <s v="Categorie-add"/>
        <m/>
      </sharedItems>
    </cacheField>
    <cacheField name="Taches" numFmtId="0">
      <sharedItems containsBlank="1">
        <s v="Global"/>
        <s v="Liste"/>
        <s v="Ajout"/>
        <m/>
      </sharedItems>
    </cacheField>
    <cacheField name="Type" numFmtId="0">
      <sharedItems containsBlank="1">
        <s v="Affichage"/>
        <s v="Metier"/>
        <s v="Integration"/>
        <s v="Base"/>
        <m/>
      </sharedItems>
    </cacheField>
    <cacheField name="Qui" numFmtId="0">
      <sharedItems containsBlank="1">
        <s v="ETU00YYYY"/>
        <s v="ETU00XXXX"/>
        <s v="ETU00ZZZZ"/>
        <s v="ETU00WWWW"/>
        <m/>
      </sharedItems>
    </cacheField>
    <cacheField name="Estimation" numFmtId="0">
      <sharedItems containsString="0" containsBlank="1" containsNumber="1" containsInteger="1">
        <n v="30.0"/>
        <n v="20.0"/>
        <n v="10.0"/>
        <n v="50.0"/>
        <n v="25.0"/>
        <n v="5.0"/>
        <m/>
      </sharedItems>
    </cacheField>
    <cacheField name="Temps passé" numFmtId="0">
      <sharedItems containsString="0" containsBlank="1" containsNumber="1" containsInteger="1">
        <n v="20.0"/>
        <n v="0.0"/>
        <n v="10.0"/>
        <n v="90.0"/>
        <n v="30.0"/>
        <m/>
      </sharedItems>
    </cacheField>
    <cacheField name="Reste à faire" numFmtId="0">
      <sharedItems containsString="0" containsBlank="1" containsNumber="1" containsInteger="1">
        <n v="10.0"/>
        <n v="20.0"/>
        <n v="40.0"/>
        <n v="25.0"/>
        <n v="0.0"/>
        <n v="5.0"/>
        <m/>
      </sharedItems>
    </cacheField>
    <cacheField name="Avancement" numFmtId="10">
      <sharedItems containsString="0" containsBlank="1" containsNumber="1">
        <n v="0.6666666666666666"/>
        <n v="0.0"/>
        <n v="0.3333333333333333"/>
        <n v="0.2"/>
        <n v="1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Recap" cacheId="0" dataCaption="" compact="0" compactData="0">
  <location ref="A1:D7" firstHeaderRow="0" firstDataRow="2" firstDataCol="0"/>
  <pivotFields>
    <pivotField name="Catégorie" compact="0" outline="0" multipleItemSelectionAllowed="1" showAll="0">
      <items>
        <item x="0"/>
        <item x="1"/>
        <item t="default"/>
      </items>
    </pivotField>
    <pivotField name="Module" compact="0" outline="0" multipleItemSelectionAllowed="1" showAll="0">
      <items>
        <item x="0"/>
        <item x="1"/>
        <item x="2"/>
        <item t="default"/>
      </items>
    </pivotField>
    <pivotField name="Page" compact="0" outline="0" multipleItemSelectionAllowed="1" showAll="0">
      <items>
        <item x="0"/>
        <item x="1"/>
        <item x="2"/>
        <item x="3"/>
        <item t="default"/>
      </items>
    </pivotField>
    <pivotField name="Taches" compact="0" outline="0" multipleItemSelectionAllowed="1" showAll="0">
      <items>
        <item x="0"/>
        <item x="1"/>
        <item x="2"/>
        <item x="3"/>
        <item t="default"/>
      </items>
    </pivotField>
    <pivotField name="Typ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Qui" axis="axisRow" compact="0" outline="0" multipleItemSelectionAllowed="1" showAll="0" sortType="ascending">
      <items>
        <item x="4"/>
        <item x="3"/>
        <item x="1"/>
        <item x="0"/>
        <item x="2"/>
        <item t="default"/>
      </items>
    </pivotField>
    <pivotField name="Estimation" dataField="1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emps passé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ste à faire" dataField="1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vancement" compact="0" numFmtId="1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5"/>
  </rowFields>
  <colFields>
    <field x="-2"/>
  </colFields>
  <dataFields>
    <dataField name="SUM of Estimation" fld="6" baseField="0"/>
    <dataField name="SUM of Temps passé" fld="7" baseField="0"/>
    <dataField name="SUM of Reste à faire" fld="8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19.0"/>
    <col customWidth="1" min="3" max="3" width="18.0"/>
  </cols>
  <sheetData>
    <row r="1">
      <c r="A1" s="2" t="s">
        <v>7</v>
      </c>
      <c r="B1" s="3" t="s">
        <v>8</v>
      </c>
      <c r="C1" s="3" t="s">
        <v>9</v>
      </c>
      <c r="D1" s="3" t="s">
        <v>10</v>
      </c>
      <c r="E1" s="4" t="s">
        <v>11</v>
      </c>
      <c r="F1" s="4" t="s">
        <v>12</v>
      </c>
      <c r="G1" s="4" t="s">
        <v>13</v>
      </c>
      <c r="H1" s="4" t="s">
        <v>14</v>
      </c>
      <c r="I1" s="4" t="s">
        <v>15</v>
      </c>
      <c r="J1" s="4" t="s">
        <v>16</v>
      </c>
      <c r="K1" s="4" t="s">
        <v>17</v>
      </c>
    </row>
    <row r="2">
      <c r="A2" s="5">
        <v>1.0</v>
      </c>
      <c r="B2" s="6" t="s">
        <v>18</v>
      </c>
      <c r="C2" s="7" t="s">
        <v>19</v>
      </c>
      <c r="D2" s="8" t="s">
        <v>20</v>
      </c>
      <c r="E2" s="9" t="s">
        <v>21</v>
      </c>
      <c r="F2" s="9" t="s">
        <v>22</v>
      </c>
      <c r="G2" s="8" t="s">
        <v>2</v>
      </c>
      <c r="H2" s="8">
        <v>30.0</v>
      </c>
      <c r="I2" s="10">
        <f>detail_avancement!B2</f>
        <v>20</v>
      </c>
      <c r="J2" s="10">
        <f t="shared" ref="J2:J7" si="1">H2-I2</f>
        <v>10</v>
      </c>
      <c r="K2" s="11">
        <f t="shared" ref="K2:K10" si="2">(I2/(I2+J2))</f>
        <v>0.6666666667</v>
      </c>
    </row>
    <row r="3">
      <c r="A3" s="5">
        <v>2.0</v>
      </c>
      <c r="B3" s="6" t="s">
        <v>18</v>
      </c>
      <c r="C3" s="9" t="s">
        <v>19</v>
      </c>
      <c r="D3" s="8" t="s">
        <v>20</v>
      </c>
      <c r="E3" s="9" t="s">
        <v>21</v>
      </c>
      <c r="F3" s="9" t="s">
        <v>23</v>
      </c>
      <c r="G3" s="8" t="s">
        <v>0</v>
      </c>
      <c r="H3" s="8">
        <v>20.0</v>
      </c>
      <c r="I3" s="10">
        <f>detail_avancement!B3</f>
        <v>0</v>
      </c>
      <c r="J3" s="10">
        <f t="shared" si="1"/>
        <v>20</v>
      </c>
      <c r="K3" s="11">
        <f t="shared" si="2"/>
        <v>0</v>
      </c>
    </row>
    <row r="4">
      <c r="A4" s="5">
        <v>3.0</v>
      </c>
      <c r="B4" s="6" t="s">
        <v>18</v>
      </c>
      <c r="C4" s="9" t="s">
        <v>19</v>
      </c>
      <c r="D4" s="8" t="s">
        <v>20</v>
      </c>
      <c r="E4" s="9" t="s">
        <v>21</v>
      </c>
      <c r="F4" s="9" t="s">
        <v>24</v>
      </c>
      <c r="G4" s="8" t="s">
        <v>0</v>
      </c>
      <c r="H4" s="8">
        <v>30.0</v>
      </c>
      <c r="I4" s="10">
        <f>detail_avancement!B4</f>
        <v>10</v>
      </c>
      <c r="J4" s="10">
        <f t="shared" si="1"/>
        <v>20</v>
      </c>
      <c r="K4" s="11">
        <f t="shared" si="2"/>
        <v>0.3333333333</v>
      </c>
    </row>
    <row r="5">
      <c r="A5" s="5">
        <v>4.0</v>
      </c>
      <c r="B5" s="6" t="s">
        <v>18</v>
      </c>
      <c r="C5" s="9" t="s">
        <v>25</v>
      </c>
      <c r="D5" s="8" t="s">
        <v>26</v>
      </c>
      <c r="E5" s="9" t="s">
        <v>27</v>
      </c>
      <c r="F5" s="9" t="s">
        <v>22</v>
      </c>
      <c r="G5" s="8" t="s">
        <v>4</v>
      </c>
      <c r="H5" s="8">
        <v>10.0</v>
      </c>
      <c r="I5" s="10">
        <f>detail_avancement!B5</f>
        <v>0</v>
      </c>
      <c r="J5" s="10">
        <f t="shared" si="1"/>
        <v>10</v>
      </c>
      <c r="K5" s="11">
        <f t="shared" si="2"/>
        <v>0</v>
      </c>
    </row>
    <row r="6">
      <c r="A6" s="5">
        <v>5.0</v>
      </c>
      <c r="B6" s="6" t="s">
        <v>18</v>
      </c>
      <c r="C6" s="9" t="s">
        <v>25</v>
      </c>
      <c r="D6" s="8" t="s">
        <v>26</v>
      </c>
      <c r="E6" s="9" t="s">
        <v>27</v>
      </c>
      <c r="F6" s="9" t="s">
        <v>23</v>
      </c>
      <c r="G6" s="8" t="s">
        <v>4</v>
      </c>
      <c r="H6" s="8">
        <v>50.0</v>
      </c>
      <c r="I6" s="10">
        <f>detail_avancement!B6</f>
        <v>10</v>
      </c>
      <c r="J6" s="10">
        <f t="shared" si="1"/>
        <v>40</v>
      </c>
      <c r="K6" s="11">
        <f t="shared" si="2"/>
        <v>0.2</v>
      </c>
    </row>
    <row r="7">
      <c r="A7" s="5">
        <v>6.0</v>
      </c>
      <c r="B7" s="6" t="s">
        <v>18</v>
      </c>
      <c r="C7" s="9" t="s">
        <v>25</v>
      </c>
      <c r="D7" s="8" t="s">
        <v>26</v>
      </c>
      <c r="E7" s="9" t="s">
        <v>27</v>
      </c>
      <c r="F7" s="9" t="s">
        <v>24</v>
      </c>
      <c r="G7" s="8" t="s">
        <v>6</v>
      </c>
      <c r="H7" s="8">
        <v>25.0</v>
      </c>
      <c r="I7" s="10">
        <f>detail_avancement!B7</f>
        <v>0</v>
      </c>
      <c r="J7" s="10">
        <f t="shared" si="1"/>
        <v>25</v>
      </c>
      <c r="K7" s="11">
        <f t="shared" si="2"/>
        <v>0</v>
      </c>
    </row>
    <row r="8">
      <c r="A8" s="5">
        <v>7.0</v>
      </c>
      <c r="B8" s="6" t="s">
        <v>18</v>
      </c>
      <c r="C8" s="9" t="s">
        <v>25</v>
      </c>
      <c r="D8" s="8" t="s">
        <v>28</v>
      </c>
      <c r="E8" s="9" t="s">
        <v>29</v>
      </c>
      <c r="F8" s="9" t="s">
        <v>22</v>
      </c>
      <c r="G8" s="8" t="s">
        <v>2</v>
      </c>
      <c r="H8" s="8">
        <v>10.0</v>
      </c>
      <c r="I8" s="10">
        <f>detail_avancement!B8</f>
        <v>90</v>
      </c>
      <c r="J8" s="12">
        <v>0.0</v>
      </c>
      <c r="K8" s="11">
        <f t="shared" si="2"/>
        <v>1</v>
      </c>
    </row>
    <row r="9">
      <c r="A9" s="5">
        <v>8.0</v>
      </c>
      <c r="B9" s="6" t="s">
        <v>18</v>
      </c>
      <c r="C9" s="9" t="s">
        <v>25</v>
      </c>
      <c r="D9" s="8" t="s">
        <v>28</v>
      </c>
      <c r="E9" s="9" t="s">
        <v>29</v>
      </c>
      <c r="F9" s="9" t="s">
        <v>23</v>
      </c>
      <c r="G9" s="8" t="s">
        <v>6</v>
      </c>
      <c r="H9" s="8">
        <v>5.0</v>
      </c>
      <c r="I9" s="10">
        <f>detail_avancement!B9</f>
        <v>30</v>
      </c>
      <c r="J9" s="12">
        <v>0.0</v>
      </c>
      <c r="K9" s="11">
        <f t="shared" si="2"/>
        <v>1</v>
      </c>
    </row>
    <row r="10">
      <c r="A10" s="5">
        <v>9.0</v>
      </c>
      <c r="B10" s="6" t="s">
        <v>18</v>
      </c>
      <c r="C10" s="9" t="s">
        <v>25</v>
      </c>
      <c r="D10" s="8" t="s">
        <v>28</v>
      </c>
      <c r="E10" s="9" t="s">
        <v>29</v>
      </c>
      <c r="F10" s="8" t="s">
        <v>30</v>
      </c>
      <c r="G10" s="8" t="s">
        <v>6</v>
      </c>
      <c r="H10" s="8">
        <v>5.0</v>
      </c>
      <c r="I10" s="10">
        <f>detail_avancement!B10</f>
        <v>0</v>
      </c>
      <c r="J10" s="10">
        <f>H10-I10</f>
        <v>5</v>
      </c>
      <c r="K10" s="11">
        <f t="shared" si="2"/>
        <v>0</v>
      </c>
    </row>
    <row r="1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</row>
    <row r="1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</row>
    <row r="13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</row>
    <row r="14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</row>
    <row r="1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</row>
    <row r="16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</row>
    <row r="17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</row>
    <row r="18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</row>
    <row r="19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</row>
    <row r="20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12">
      <c r="A12" s="15" t="s">
        <v>17</v>
      </c>
      <c r="B12" s="16">
        <f>avancement!D2</f>
        <v>0.5517241379</v>
      </c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17.88"/>
    <col customWidth="1" min="3" max="3" width="17.0"/>
    <col customWidth="1" min="4" max="4" width="18.25"/>
    <col customWidth="1" min="5" max="5" width="13.75"/>
  </cols>
  <sheetData>
    <row r="1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</row>
    <row r="2">
      <c r="A2" s="18">
        <f>SUM('liste des taches'!H:H)</f>
        <v>185</v>
      </c>
      <c r="B2" s="18">
        <f>SUM('liste des taches'!I:I)</f>
        <v>160</v>
      </c>
      <c r="C2" s="18">
        <f>SUM('liste des taches'!J:J)</f>
        <v>130</v>
      </c>
      <c r="D2" s="19">
        <f>(B2/(B2+C2))</f>
        <v>0.5517241379</v>
      </c>
      <c r="E2" s="20">
        <f>((B2+C2)-A2)/A2</f>
        <v>0.5675675676</v>
      </c>
    </row>
    <row r="3">
      <c r="A3" s="21"/>
      <c r="B3" s="21"/>
      <c r="C3" s="18">
        <f>C2/60</f>
        <v>2.166666667</v>
      </c>
      <c r="D3" s="21" t="s">
        <v>40</v>
      </c>
      <c r="E3" s="2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2" t="s">
        <v>7</v>
      </c>
      <c r="B1" s="23" t="s">
        <v>41</v>
      </c>
      <c r="C1" s="24">
        <v>46048.0</v>
      </c>
      <c r="D1" s="24">
        <v>46049.0</v>
      </c>
      <c r="E1" s="24">
        <v>46050.0</v>
      </c>
    </row>
    <row r="2">
      <c r="A2" s="25">
        <v>1.0</v>
      </c>
      <c r="B2" s="18">
        <f t="shared" ref="B2:B10" si="1">SUM(D2:P2)</f>
        <v>20</v>
      </c>
      <c r="C2" s="21"/>
      <c r="D2" s="25">
        <v>20.0</v>
      </c>
      <c r="E2" s="21"/>
    </row>
    <row r="3">
      <c r="A3" s="25">
        <v>2.0</v>
      </c>
      <c r="B3" s="18">
        <f t="shared" si="1"/>
        <v>0</v>
      </c>
      <c r="C3" s="21"/>
      <c r="D3" s="21"/>
      <c r="E3" s="21"/>
    </row>
    <row r="4">
      <c r="A4" s="25">
        <v>3.0</v>
      </c>
      <c r="B4" s="18">
        <f t="shared" si="1"/>
        <v>10</v>
      </c>
      <c r="C4" s="25">
        <v>20.0</v>
      </c>
      <c r="D4" s="25">
        <v>10.0</v>
      </c>
      <c r="E4" s="21"/>
    </row>
    <row r="5">
      <c r="A5" s="25">
        <v>4.0</v>
      </c>
      <c r="B5" s="18">
        <f t="shared" si="1"/>
        <v>0</v>
      </c>
      <c r="C5" s="21"/>
      <c r="D5" s="21"/>
      <c r="E5" s="21"/>
    </row>
    <row r="6">
      <c r="A6" s="25">
        <v>5.0</v>
      </c>
      <c r="B6" s="18">
        <f t="shared" si="1"/>
        <v>10</v>
      </c>
      <c r="C6" s="21"/>
      <c r="D6" s="26">
        <v>10.0</v>
      </c>
      <c r="E6" s="21"/>
    </row>
    <row r="7">
      <c r="A7" s="25">
        <v>6.0</v>
      </c>
      <c r="B7" s="18">
        <f t="shared" si="1"/>
        <v>0</v>
      </c>
      <c r="C7" s="21"/>
      <c r="D7" s="21"/>
      <c r="E7" s="21"/>
    </row>
    <row r="8">
      <c r="A8" s="25">
        <v>7.0</v>
      </c>
      <c r="B8" s="18">
        <f t="shared" si="1"/>
        <v>90</v>
      </c>
      <c r="C8" s="21"/>
      <c r="D8" s="26">
        <v>90.0</v>
      </c>
      <c r="E8" s="21"/>
    </row>
    <row r="9">
      <c r="A9" s="27">
        <v>8.0</v>
      </c>
      <c r="B9" s="18">
        <f t="shared" si="1"/>
        <v>30</v>
      </c>
      <c r="D9" s="27">
        <v>30.0</v>
      </c>
    </row>
    <row r="10">
      <c r="A10" s="27">
        <v>9.0</v>
      </c>
      <c r="B10" s="18">
        <f t="shared" si="1"/>
        <v>0</v>
      </c>
    </row>
  </sheetData>
  <drawing r:id="rId1"/>
</worksheet>
</file>